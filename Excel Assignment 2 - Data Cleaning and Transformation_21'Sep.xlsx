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7B4DBD8C-C1F0-41E1-B19D-618389D010CE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N4" i="2"/>
  <c r="N5" i="2"/>
  <c r="N3" i="2"/>
</calcChain>
</file>

<file path=xl/sharedStrings.xml><?xml version="1.0" encoding="utf-8"?>
<sst xmlns="http://schemas.openxmlformats.org/spreadsheetml/2006/main" count="211" uniqueCount="136">
  <si>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</si>
  <si>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</si>
  <si>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</si>
  <si>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</si>
  <si>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</si>
  <si>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</si>
  <si>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</si>
  <si>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</si>
  <si>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</si>
  <si>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</si>
  <si>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</si>
  <si>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</si>
  <si>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</si>
  <si>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</si>
  <si>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</si>
  <si>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</si>
  <si>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</si>
  <si>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</si>
  <si>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</si>
  <si>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</si>
  <si>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 xml:space="preserve"> Manufacturing Date</t>
  </si>
  <si>
    <t>Country Code</t>
  </si>
  <si>
    <t>Product Name</t>
  </si>
  <si>
    <t>Brand Name</t>
  </si>
  <si>
    <t>Product Brand</t>
  </si>
  <si>
    <t>Price ($)</t>
  </si>
  <si>
    <t>Quantity</t>
  </si>
  <si>
    <t>Category</t>
  </si>
  <si>
    <t>28-JAN-US</t>
  </si>
  <si>
    <t>Laptop</t>
  </si>
  <si>
    <t>Dell</t>
  </si>
  <si>
    <t>Electronics</t>
  </si>
  <si>
    <t>1)</t>
  </si>
  <si>
    <t>.</t>
  </si>
  <si>
    <t>There were 3 products where price is missing and i have considered those products price by getting their average product value where they similar products but different brands but for those unique products i have taken average price of the category section.</t>
  </si>
  <si>
    <t>15-FEB-US</t>
  </si>
  <si>
    <t>Sneakers</t>
  </si>
  <si>
    <t>Nike</t>
  </si>
  <si>
    <t>Fashion</t>
  </si>
  <si>
    <t>Headphones</t>
  </si>
  <si>
    <t>03-MAR-US</t>
  </si>
  <si>
    <t>Coffee Maker</t>
  </si>
  <si>
    <t>Keurig</t>
  </si>
  <si>
    <t>Kitchen</t>
  </si>
  <si>
    <t>Camping Tent</t>
  </si>
  <si>
    <t>11-APR-US</t>
  </si>
  <si>
    <t>Smartphone</t>
  </si>
  <si>
    <t>Samsung</t>
  </si>
  <si>
    <t>Sunglasses</t>
  </si>
  <si>
    <t>22-MAY-US</t>
  </si>
  <si>
    <t>Backpack</t>
  </si>
  <si>
    <t>North Face</t>
  </si>
  <si>
    <t>There were 4 products with missing category section. So i have considering filling the missing values based on products.</t>
  </si>
  <si>
    <t>07-JUN-UK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</si>
  <si>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</si>
  <si>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</si>
  <si>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</si>
  <si>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</si>
  <si>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</si>
  <si>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</si>
  <si>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</si>
  <si>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</si>
  <si>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</si>
  <si>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</si>
  <si>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Fitness Tracker</t>
  </si>
  <si>
    <t>Accessories</t>
  </si>
  <si>
    <t>14-OCT-UK</t>
  </si>
  <si>
    <t>Hiking Boots</t>
  </si>
  <si>
    <t>Timberland</t>
  </si>
  <si>
    <t>Outdoor</t>
  </si>
  <si>
    <t>2)</t>
  </si>
  <si>
    <t>laptop</t>
  </si>
  <si>
    <t>17-JUN-IN</t>
  </si>
  <si>
    <t>HP</t>
  </si>
  <si>
    <t>smartphone</t>
  </si>
  <si>
    <t>25-NOV-AU</t>
  </si>
  <si>
    <t>headphones</t>
  </si>
  <si>
    <t>08-DEC-DE</t>
  </si>
  <si>
    <t>Nespresso</t>
  </si>
  <si>
    <t>Electroni</t>
  </si>
  <si>
    <t>18-FEB-CA</t>
  </si>
  <si>
    <t>Smartwatch</t>
  </si>
  <si>
    <t>Fitbit</t>
  </si>
  <si>
    <t>3)</t>
  </si>
  <si>
    <t>There were 3 products with duplicates.</t>
  </si>
  <si>
    <t>16-APR-ES</t>
  </si>
  <si>
    <t>Bose</t>
  </si>
  <si>
    <t>21-AUG-CA</t>
  </si>
  <si>
    <t>Removed</t>
  </si>
  <si>
    <t>Laptop Bag</t>
  </si>
  <si>
    <t>Samsonite</t>
  </si>
  <si>
    <t>20-AUG-CN</t>
  </si>
  <si>
    <t>Huawei</t>
  </si>
  <si>
    <t>27-JAN-IT</t>
  </si>
  <si>
    <t>Asus</t>
  </si>
  <si>
    <t>4)</t>
  </si>
  <si>
    <t>Added</t>
  </si>
  <si>
    <t>01-MAR-UK</t>
  </si>
  <si>
    <t>Oakley</t>
  </si>
  <si>
    <t>14-AUG-US</t>
  </si>
  <si>
    <t>Coleman</t>
  </si>
  <si>
    <t>14-MAY-RU</t>
  </si>
  <si>
    <t>Camera</t>
  </si>
  <si>
    <t>Nikon</t>
  </si>
  <si>
    <t>5)</t>
  </si>
  <si>
    <t>Price Format</t>
  </si>
  <si>
    <t>Currency</t>
  </si>
  <si>
    <t>09-JAN-CA</t>
  </si>
  <si>
    <t>Microwave</t>
  </si>
  <si>
    <t>Panasonic</t>
  </si>
  <si>
    <t>DD-MM-YYYY</t>
  </si>
  <si>
    <t>19-JUL-BR</t>
  </si>
  <si>
    <t>Xiaomi</t>
  </si>
  <si>
    <t>6)</t>
  </si>
  <si>
    <t>Price Data Bar</t>
  </si>
  <si>
    <t>29-SEP-CA</t>
  </si>
  <si>
    <t>Google</t>
  </si>
  <si>
    <t>Conditional Formatted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</si>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</sst>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INR]\ #,##0"/>
    <numFmt numFmtId="165" formatCode="[$₹-44A]#,##0"/>
    <numFmt numFmtId="166" formatCode="mm/dd/yy;@"/>
    <numFmt numFmtId="167" formatCode="m/d/yyyy;@"/>
  </numFmts>
  <fonts count="10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scheme val="minor"/>
    </font>
    <font>
      <b/>
      <sz val="18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8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/>
    <xf numFmtId="164" fontId="5" fillId="3" borderId="0" xfId="0" applyNumberFormat="1" applyFont="1" applyFill="1"/>
    <xf numFmtId="165" fontId="7" fillId="2" borderId="0" xfId="0" applyNumberFormat="1" applyFont="1" applyFill="1" applyAlignment="1">
      <alignment horizontal="center"/>
    </xf>
    <xf numFmtId="165" fontId="0" fillId="0" borderId="0" xfId="0" applyNumberFormat="1" applyFont="1" applyAlignment="1"/>
    <xf numFmtId="166" fontId="7" fillId="2" borderId="0" xfId="0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theme="1"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>
      <selection sqref="A1:D26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11" ht="15.75" customHeight="1">
      <c r="A1" s="1" t="s">
        <v>0</v>
      </c>
    </row>
    <row r="2" spans="1:11" ht="15.75" customHeight="1"/>
    <row r="3" spans="1:11" ht="15.75" customHeight="1">
      <c r="B3" s="2" t="s">
        <v>1</v>
      </c>
    </row>
    <row r="4" spans="1:11" ht="15.75" customHeight="1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.75" customHeight="1">
      <c r="C8" s="3" t="s">
        <v>5</v>
      </c>
    </row>
    <row r="9" spans="1:11" ht="15.75" customHeight="1">
      <c r="C9" s="3" t="s">
        <v>6</v>
      </c>
    </row>
    <row r="10" spans="1:11" ht="15.75" customHeight="1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4" spans="1:11" ht="15.75" customHeight="1"/>
    <row r="15" spans="1:11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7"/>
  <sheetViews>
    <sheetView tabSelected="1" workbookViewId="0">
      <selection activeCell="B1" sqref="B1"/>
    </sheetView>
  </sheetViews>
  <sheetFormatPr defaultColWidth="12.5703125" defaultRowHeight="15" customHeight="1"/>
  <cols>
    <col min="1" max="1" width="12.5703125" customWidth="1"/>
    <col min="2" max="2" width="21.5703125" customWidth="1"/>
    <col min="3" max="3" width="15.85546875" customWidth="1"/>
    <col min="4" max="6" width="12.5703125" customWidth="1"/>
    <col min="7" max="7" width="12.5703125" style="20" customWidth="1"/>
    <col min="8" max="9" width="12.5703125" customWidth="1"/>
    <col min="13" max="13" width="17.7109375" customWidth="1"/>
    <col min="14" max="14" width="19.7109375" bestFit="1" customWidth="1"/>
  </cols>
  <sheetData>
    <row r="1" spans="1:20" ht="15.75" customHeight="1">
      <c r="A1" s="9" t="s">
        <v>19</v>
      </c>
      <c r="B1" s="21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19" t="s">
        <v>25</v>
      </c>
      <c r="H1" s="9" t="s">
        <v>26</v>
      </c>
      <c r="I1" s="9" t="s">
        <v>27</v>
      </c>
    </row>
    <row r="2" spans="1:20" ht="15.75" customHeight="1">
      <c r="A2" s="10" t="s">
        <v>28</v>
      </c>
      <c r="B2" s="22">
        <v>45685</v>
      </c>
      <c r="C2" s="10" t="str">
        <f>RIGHT(A2,2)</f>
        <v>US</v>
      </c>
      <c r="D2" s="10" t="s">
        <v>29</v>
      </c>
      <c r="E2" s="10" t="s">
        <v>30</v>
      </c>
      <c r="F2" s="10" t="str">
        <f>D2&amp;E2</f>
        <v>LaptopDell</v>
      </c>
      <c r="G2" s="17">
        <v>1000</v>
      </c>
      <c r="H2" s="10">
        <v>30</v>
      </c>
      <c r="I2" s="10" t="s">
        <v>31</v>
      </c>
      <c r="J2" s="14"/>
      <c r="K2" s="24" t="s">
        <v>32</v>
      </c>
      <c r="L2" s="25" t="s">
        <v>33</v>
      </c>
      <c r="M2" s="12" t="s">
        <v>34</v>
      </c>
    </row>
    <row r="3" spans="1:20" ht="15.75" customHeight="1">
      <c r="A3" s="11" t="s">
        <v>35</v>
      </c>
      <c r="B3" s="23">
        <v>45703</v>
      </c>
      <c r="C3" s="11" t="str">
        <f t="shared" ref="C3:C32" si="0">RIGHT(A3,2)</f>
        <v>US</v>
      </c>
      <c r="D3" s="11" t="s">
        <v>36</v>
      </c>
      <c r="E3" s="11" t="s">
        <v>37</v>
      </c>
      <c r="F3" s="11" t="str">
        <f t="shared" ref="F3:F32" si="1">D3&amp;E3</f>
        <v>SneakersNike</v>
      </c>
      <c r="G3" s="18">
        <v>80</v>
      </c>
      <c r="H3" s="11">
        <v>15</v>
      </c>
      <c r="I3" s="11" t="s">
        <v>38</v>
      </c>
      <c r="J3" s="14"/>
      <c r="K3" s="24"/>
      <c r="L3" s="25"/>
      <c r="M3" s="16" t="s">
        <v>39</v>
      </c>
      <c r="N3" s="16">
        <f>AVERAGEIF($D$2:$D$32,$M3,$G$2:$G$32)</f>
        <v>250</v>
      </c>
      <c r="O3" s="5"/>
      <c r="P3" s="5"/>
      <c r="R3" s="6"/>
      <c r="S3" s="6"/>
      <c r="T3" s="6"/>
    </row>
    <row r="4" spans="1:20" ht="15.75" customHeight="1">
      <c r="A4" s="10" t="s">
        <v>40</v>
      </c>
      <c r="B4" s="22">
        <v>45719</v>
      </c>
      <c r="C4" s="10" t="str">
        <f t="shared" si="0"/>
        <v>US</v>
      </c>
      <c r="D4" s="10" t="s">
        <v>41</v>
      </c>
      <c r="E4" s="10" t="s">
        <v>42</v>
      </c>
      <c r="F4" s="10" t="str">
        <f t="shared" si="1"/>
        <v>Coffee MakerKeurig</v>
      </c>
      <c r="G4" s="17">
        <v>130</v>
      </c>
      <c r="H4" s="10">
        <v>40</v>
      </c>
      <c r="I4" s="10" t="s">
        <v>43</v>
      </c>
      <c r="J4" s="14"/>
      <c r="K4" s="24"/>
      <c r="L4" s="25"/>
      <c r="M4" s="16" t="s">
        <v>44</v>
      </c>
      <c r="N4" s="16">
        <f>AVERAGEIF($I$2:$I$32,"Outdoor",$G$2:$G$32)</f>
        <v>130</v>
      </c>
      <c r="O4" s="6"/>
      <c r="P4" s="6"/>
      <c r="R4" s="6"/>
      <c r="S4" s="6"/>
      <c r="T4" s="6"/>
    </row>
    <row r="5" spans="1:20" ht="15.75" customHeight="1">
      <c r="A5" s="11" t="s">
        <v>45</v>
      </c>
      <c r="B5" s="23">
        <v>45758</v>
      </c>
      <c r="C5" s="11" t="str">
        <f t="shared" si="0"/>
        <v>US</v>
      </c>
      <c r="D5" s="11" t="s">
        <v>46</v>
      </c>
      <c r="E5" s="11" t="s">
        <v>47</v>
      </c>
      <c r="F5" s="11" t="str">
        <f t="shared" si="1"/>
        <v>SmartphoneSamsung</v>
      </c>
      <c r="G5" s="18">
        <v>900</v>
      </c>
      <c r="H5" s="11">
        <v>25</v>
      </c>
      <c r="I5" s="11" t="s">
        <v>31</v>
      </c>
      <c r="J5" s="14"/>
      <c r="K5" s="24"/>
      <c r="L5" s="25"/>
      <c r="M5" s="16" t="s">
        <v>48</v>
      </c>
      <c r="N5" s="16">
        <f>AVERAGEIF($D$2:$D$32,$M5,$G$2:$G$32)</f>
        <v>150</v>
      </c>
      <c r="O5" s="6"/>
      <c r="P5" s="6"/>
      <c r="R5" s="6"/>
      <c r="S5" s="6"/>
      <c r="T5" s="6"/>
    </row>
    <row r="6" spans="1:20" ht="15.75" customHeight="1">
      <c r="A6" s="10" t="s">
        <v>49</v>
      </c>
      <c r="B6" s="22">
        <v>45799</v>
      </c>
      <c r="C6" s="10" t="str">
        <f t="shared" si="0"/>
        <v>US</v>
      </c>
      <c r="D6" s="10" t="s">
        <v>50</v>
      </c>
      <c r="E6" s="10" t="s">
        <v>51</v>
      </c>
      <c r="F6" s="10" t="str">
        <f t="shared" si="1"/>
        <v>BackpackNorth Face</v>
      </c>
      <c r="G6" s="17">
        <v>70</v>
      </c>
      <c r="H6" s="10">
        <v>20</v>
      </c>
      <c r="I6" s="10" t="s">
        <v>38</v>
      </c>
      <c r="J6" s="14"/>
      <c r="K6" s="24"/>
      <c r="L6" s="25" t="s">
        <v>33</v>
      </c>
      <c r="M6" s="12" t="s">
        <v>52</v>
      </c>
    </row>
    <row r="7" spans="1:20" ht="15.75" customHeight="1">
      <c r="A7" s="11" t="s">
        <v>53</v>
      </c>
      <c r="B7" s="23">
        <v>45815</v>
      </c>
      <c r="C7" s="11" t="str">
        <f t="shared" si="0"/>
        <v>UK</v>
      </c>
      <c r="D7" s="11" t="s">
        <v>39</v>
      </c>
      <c r="E7" s="11" t="s">
        <v>54</v>
      </c>
      <c r="F7" s="11" t="str">
        <f t="shared" si="1"/>
        <v>HeadphonesSony</v>
      </c>
      <c r="G7" s="18">
        <v>250</v>
      </c>
      <c r="H7" s="11">
        <v>45</v>
      </c>
      <c r="I7" s="11" t="s">
        <v>31</v>
      </c>
      <c r="J7" s="14"/>
      <c r="K7" s="24"/>
      <c r="L7" s="25"/>
      <c r="M7" s="16" t="s">
        <v>50</v>
      </c>
      <c r="N7" s="16" t="s">
        <v>38</v>
      </c>
    </row>
    <row r="8" spans="1:20" ht="15.75" customHeight="1">
      <c r="A8" s="10" t="s">
        <v>55</v>
      </c>
      <c r="B8" s="22">
        <v>45857</v>
      </c>
      <c r="C8" s="10" t="str">
        <f t="shared" si="0"/>
        <v>UK</v>
      </c>
      <c r="D8" s="10" t="s">
        <v>56</v>
      </c>
      <c r="E8" s="10" t="s">
        <v>57</v>
      </c>
      <c r="F8" s="10" t="str">
        <f t="shared" si="1"/>
        <v>T-shirtAdidas</v>
      </c>
      <c r="G8" s="17">
        <v>30</v>
      </c>
      <c r="H8" s="10">
        <v>5</v>
      </c>
      <c r="I8" s="10" t="s">
        <v>38</v>
      </c>
      <c r="J8" s="14"/>
      <c r="K8" s="24"/>
      <c r="L8" s="25"/>
      <c r="M8" s="16" t="s">
        <v>36</v>
      </c>
      <c r="N8" s="16" t="s">
        <v>38</v>
      </c>
    </row>
    <row r="9" spans="1:20" ht="15.75" customHeight="1">
      <c r="A9" s="11" t="s">
        <v>58</v>
      </c>
      <c r="B9" s="23">
        <v>45892</v>
      </c>
      <c r="C9" s="11" t="str">
        <f t="shared" si="0"/>
        <v>UK</v>
      </c>
      <c r="D9" s="11" t="s">
        <v>59</v>
      </c>
      <c r="E9" s="11" t="s">
        <v>60</v>
      </c>
      <c r="F9" s="11" t="str">
        <f t="shared" si="1"/>
        <v>BlenderNinja</v>
      </c>
      <c r="G9" s="18">
        <v>90</v>
      </c>
      <c r="H9" s="11">
        <v>35</v>
      </c>
      <c r="I9" s="11" t="s">
        <v>43</v>
      </c>
      <c r="J9" s="14"/>
      <c r="K9" s="24"/>
      <c r="L9" s="25"/>
      <c r="M9" s="16" t="s">
        <v>41</v>
      </c>
      <c r="N9" s="16" t="s">
        <v>43</v>
      </c>
    </row>
    <row r="10" spans="1:20" ht="15.75" customHeight="1">
      <c r="A10" s="10" t="s">
        <v>61</v>
      </c>
      <c r="B10" s="22">
        <v>45905</v>
      </c>
      <c r="C10" s="10" t="str">
        <f t="shared" si="0"/>
        <v>UK</v>
      </c>
      <c r="D10" s="10" t="s">
        <v>62</v>
      </c>
      <c r="E10" s="10" t="s">
        <v>63</v>
      </c>
      <c r="F10" s="10" t="str">
        <f t="shared" si="1"/>
        <v>TabletApple</v>
      </c>
      <c r="G10" s="17">
        <v>500</v>
      </c>
      <c r="H10" s="10">
        <v>50</v>
      </c>
      <c r="I10" s="10" t="s">
        <v>31</v>
      </c>
      <c r="J10" s="14"/>
      <c r="K10" s="24"/>
      <c r="L10" s="25"/>
      <c r="M10" s="16" t="s">
        <v>64</v>
      </c>
      <c r="N10" s="16" t="s">
        <v>65</v>
      </c>
    </row>
    <row r="11" spans="1:20" ht="15.75" customHeight="1">
      <c r="A11" s="11" t="s">
        <v>66</v>
      </c>
      <c r="B11" s="23">
        <v>45944</v>
      </c>
      <c r="C11" s="11" t="str">
        <f t="shared" si="0"/>
        <v>UK</v>
      </c>
      <c r="D11" s="11" t="s">
        <v>67</v>
      </c>
      <c r="E11" s="11" t="s">
        <v>68</v>
      </c>
      <c r="F11" s="11" t="str">
        <f t="shared" si="1"/>
        <v>Hiking BootsTimberland</v>
      </c>
      <c r="G11" s="18">
        <v>130</v>
      </c>
      <c r="H11" s="11">
        <v>10</v>
      </c>
      <c r="I11" s="11" t="s">
        <v>69</v>
      </c>
      <c r="J11" s="14"/>
      <c r="K11" s="24" t="s">
        <v>70</v>
      </c>
      <c r="L11" s="25" t="s">
        <v>33</v>
      </c>
      <c r="M11" s="16" t="s">
        <v>71</v>
      </c>
      <c r="N11" s="14" t="s">
        <v>29</v>
      </c>
    </row>
    <row r="12" spans="1:20" ht="15.75" customHeight="1">
      <c r="A12" s="10" t="s">
        <v>72</v>
      </c>
      <c r="B12" s="22">
        <v>45825</v>
      </c>
      <c r="C12" s="10" t="str">
        <f t="shared" si="0"/>
        <v>IN</v>
      </c>
      <c r="D12" s="10" t="s">
        <v>29</v>
      </c>
      <c r="E12" s="10" t="s">
        <v>73</v>
      </c>
      <c r="F12" s="10" t="str">
        <f t="shared" si="1"/>
        <v>LaptopHP</v>
      </c>
      <c r="G12" s="17">
        <v>950</v>
      </c>
      <c r="H12" s="10">
        <v>25</v>
      </c>
      <c r="I12" s="10" t="s">
        <v>31</v>
      </c>
      <c r="J12" s="14"/>
      <c r="K12" s="24"/>
      <c r="L12" s="25"/>
      <c r="M12" s="16" t="s">
        <v>74</v>
      </c>
      <c r="N12" s="14" t="s">
        <v>46</v>
      </c>
    </row>
    <row r="13" spans="1:20" ht="15.75" customHeight="1">
      <c r="A13" s="11" t="s">
        <v>75</v>
      </c>
      <c r="B13" s="23">
        <v>45986</v>
      </c>
      <c r="C13" s="11" t="str">
        <f t="shared" si="0"/>
        <v>AU</v>
      </c>
      <c r="D13" s="11" t="s">
        <v>36</v>
      </c>
      <c r="E13" s="11" t="s">
        <v>57</v>
      </c>
      <c r="F13" s="11" t="str">
        <f t="shared" si="1"/>
        <v>SneakersAdidas</v>
      </c>
      <c r="G13" s="18">
        <v>90</v>
      </c>
      <c r="H13" s="11">
        <v>40</v>
      </c>
      <c r="I13" s="11" t="s">
        <v>38</v>
      </c>
      <c r="J13" s="14"/>
      <c r="K13" s="24"/>
      <c r="L13" s="25"/>
      <c r="M13" s="16" t="s">
        <v>76</v>
      </c>
      <c r="N13" s="14" t="s">
        <v>39</v>
      </c>
    </row>
    <row r="14" spans="1:20" ht="15.75" customHeight="1">
      <c r="A14" s="10" t="s">
        <v>77</v>
      </c>
      <c r="B14" s="22">
        <v>45999</v>
      </c>
      <c r="C14" s="10" t="str">
        <f t="shared" si="0"/>
        <v>DE</v>
      </c>
      <c r="D14" s="10" t="s">
        <v>41</v>
      </c>
      <c r="E14" s="10" t="s">
        <v>78</v>
      </c>
      <c r="F14" s="10" t="str">
        <f t="shared" si="1"/>
        <v>Coffee MakerNespresso</v>
      </c>
      <c r="G14" s="17">
        <v>120</v>
      </c>
      <c r="H14" s="10">
        <v>35</v>
      </c>
      <c r="I14" s="10" t="s">
        <v>43</v>
      </c>
      <c r="J14" s="13"/>
      <c r="K14" s="24"/>
      <c r="L14" s="15" t="s">
        <v>33</v>
      </c>
      <c r="M14" s="16" t="s">
        <v>79</v>
      </c>
      <c r="N14" s="14" t="s">
        <v>31</v>
      </c>
    </row>
    <row r="15" spans="1:20" ht="15.75" customHeight="1">
      <c r="A15" s="11" t="s">
        <v>80</v>
      </c>
      <c r="B15" s="23">
        <v>45706</v>
      </c>
      <c r="C15" s="11" t="str">
        <f t="shared" si="0"/>
        <v>CA</v>
      </c>
      <c r="D15" s="11" t="s">
        <v>81</v>
      </c>
      <c r="E15" s="11" t="s">
        <v>82</v>
      </c>
      <c r="F15" s="11" t="str">
        <f t="shared" si="1"/>
        <v>SmartwatchFitbit</v>
      </c>
      <c r="G15" s="18">
        <v>150</v>
      </c>
      <c r="H15" s="11">
        <v>15</v>
      </c>
      <c r="I15" s="11" t="s">
        <v>31</v>
      </c>
      <c r="J15" s="13"/>
      <c r="K15" s="24" t="s">
        <v>83</v>
      </c>
      <c r="L15" s="25" t="s">
        <v>33</v>
      </c>
      <c r="M15" s="12" t="s">
        <v>84</v>
      </c>
      <c r="Q15" s="6"/>
    </row>
    <row r="16" spans="1:20" ht="15.75" customHeight="1">
      <c r="A16" s="10" t="s">
        <v>85</v>
      </c>
      <c r="B16" s="22">
        <v>45763</v>
      </c>
      <c r="C16" s="10" t="str">
        <f t="shared" si="0"/>
        <v>ES</v>
      </c>
      <c r="D16" s="10" t="s">
        <v>39</v>
      </c>
      <c r="E16" s="10" t="s">
        <v>86</v>
      </c>
      <c r="F16" s="10" t="str">
        <f t="shared" si="1"/>
        <v>HeadphonesBose</v>
      </c>
      <c r="G16" s="17">
        <v>250</v>
      </c>
      <c r="H16" s="10">
        <v>20</v>
      </c>
      <c r="I16" s="10" t="s">
        <v>31</v>
      </c>
      <c r="J16" s="13"/>
      <c r="K16" s="24"/>
      <c r="L16" s="25"/>
      <c r="M16" s="14" t="s">
        <v>87</v>
      </c>
      <c r="N16" s="14" t="s">
        <v>88</v>
      </c>
      <c r="Q16" s="6"/>
    </row>
    <row r="17" spans="1:17" ht="15.75" customHeight="1">
      <c r="A17" s="11" t="s">
        <v>87</v>
      </c>
      <c r="B17" s="23">
        <v>45890</v>
      </c>
      <c r="C17" s="11" t="str">
        <f t="shared" si="0"/>
        <v>CA</v>
      </c>
      <c r="D17" s="11" t="s">
        <v>89</v>
      </c>
      <c r="E17" s="11" t="s">
        <v>90</v>
      </c>
      <c r="F17" s="11" t="str">
        <f t="shared" si="1"/>
        <v>Laptop BagSamsonite</v>
      </c>
      <c r="G17" s="18">
        <v>50</v>
      </c>
      <c r="H17" s="11">
        <v>35</v>
      </c>
      <c r="I17" s="11" t="s">
        <v>65</v>
      </c>
      <c r="J17" s="13"/>
      <c r="K17" s="24"/>
      <c r="L17" s="25"/>
      <c r="M17" s="14" t="s">
        <v>85</v>
      </c>
      <c r="N17" s="14" t="s">
        <v>88</v>
      </c>
      <c r="Q17" s="6"/>
    </row>
    <row r="18" spans="1:17" ht="15.75" customHeight="1">
      <c r="A18" s="10" t="s">
        <v>91</v>
      </c>
      <c r="B18" s="22">
        <v>45889</v>
      </c>
      <c r="C18" s="10" t="str">
        <f t="shared" si="0"/>
        <v>CN</v>
      </c>
      <c r="D18" s="10" t="s">
        <v>81</v>
      </c>
      <c r="E18" s="10" t="s">
        <v>92</v>
      </c>
      <c r="F18" s="10" t="str">
        <f t="shared" si="1"/>
        <v>SmartwatchHuawei</v>
      </c>
      <c r="G18" s="17">
        <v>160</v>
      </c>
      <c r="H18" s="10">
        <v>15</v>
      </c>
      <c r="I18" s="10" t="s">
        <v>31</v>
      </c>
      <c r="J18" s="13"/>
      <c r="K18" s="24"/>
      <c r="L18" s="25"/>
      <c r="M18" s="14" t="s">
        <v>72</v>
      </c>
      <c r="N18" s="14" t="s">
        <v>88</v>
      </c>
      <c r="Q18" s="6"/>
    </row>
    <row r="19" spans="1:17" ht="15.75" customHeight="1">
      <c r="A19" s="11" t="s">
        <v>93</v>
      </c>
      <c r="B19" s="23">
        <v>45684</v>
      </c>
      <c r="C19" s="11" t="str">
        <f t="shared" si="0"/>
        <v>IT</v>
      </c>
      <c r="D19" s="11" t="s">
        <v>29</v>
      </c>
      <c r="E19" s="11" t="s">
        <v>94</v>
      </c>
      <c r="F19" s="11" t="str">
        <f t="shared" si="1"/>
        <v>LaptopAsus</v>
      </c>
      <c r="G19" s="18">
        <v>980</v>
      </c>
      <c r="H19" s="11">
        <v>10</v>
      </c>
      <c r="I19" s="11" t="s">
        <v>31</v>
      </c>
      <c r="J19" s="13"/>
      <c r="K19" s="24" t="s">
        <v>95</v>
      </c>
      <c r="L19" s="25" t="s">
        <v>33</v>
      </c>
      <c r="M19" s="14" t="s">
        <v>20</v>
      </c>
      <c r="N19" s="14" t="s">
        <v>96</v>
      </c>
      <c r="Q19" s="6"/>
    </row>
    <row r="20" spans="1:17" ht="15.75" customHeight="1">
      <c r="A20" s="10" t="s">
        <v>97</v>
      </c>
      <c r="B20" s="22">
        <v>45717</v>
      </c>
      <c r="C20" s="10" t="str">
        <f t="shared" si="0"/>
        <v>UK</v>
      </c>
      <c r="D20" s="10" t="s">
        <v>48</v>
      </c>
      <c r="E20" s="10" t="s">
        <v>98</v>
      </c>
      <c r="F20" s="10" t="str">
        <f t="shared" si="1"/>
        <v>SunglassesOakley</v>
      </c>
      <c r="G20" s="17">
        <v>150</v>
      </c>
      <c r="H20" s="10">
        <v>15</v>
      </c>
      <c r="I20" s="10" t="s">
        <v>38</v>
      </c>
      <c r="K20" s="24"/>
      <c r="L20" s="25"/>
      <c r="M20" s="14" t="s">
        <v>21</v>
      </c>
      <c r="N20" s="14" t="s">
        <v>96</v>
      </c>
      <c r="Q20" s="6"/>
    </row>
    <row r="21" spans="1:17" ht="15.75" customHeight="1">
      <c r="A21" s="11" t="s">
        <v>99</v>
      </c>
      <c r="B21" s="23">
        <v>45883</v>
      </c>
      <c r="C21" s="11" t="str">
        <f t="shared" si="0"/>
        <v>US</v>
      </c>
      <c r="D21" s="11" t="s">
        <v>44</v>
      </c>
      <c r="E21" s="11" t="s">
        <v>100</v>
      </c>
      <c r="F21" s="11" t="str">
        <f t="shared" si="1"/>
        <v>Camping TentColeman</v>
      </c>
      <c r="G21" s="18">
        <v>130</v>
      </c>
      <c r="H21" s="11">
        <v>10</v>
      </c>
      <c r="I21" s="11" t="s">
        <v>69</v>
      </c>
      <c r="K21" s="24"/>
      <c r="L21" s="15" t="s">
        <v>33</v>
      </c>
      <c r="M21" s="14" t="s">
        <v>24</v>
      </c>
      <c r="N21" s="14" t="s">
        <v>96</v>
      </c>
      <c r="Q21" s="6"/>
    </row>
    <row r="22" spans="1:17" ht="15.75" customHeight="1">
      <c r="A22" s="10" t="s">
        <v>101</v>
      </c>
      <c r="B22" s="22">
        <v>45791</v>
      </c>
      <c r="C22" s="10" t="str">
        <f t="shared" si="0"/>
        <v>RU</v>
      </c>
      <c r="D22" s="10" t="s">
        <v>102</v>
      </c>
      <c r="E22" s="10" t="s">
        <v>103</v>
      </c>
      <c r="F22" s="10" t="str">
        <f t="shared" si="1"/>
        <v>CameraNikon</v>
      </c>
      <c r="G22" s="17">
        <v>700</v>
      </c>
      <c r="H22" s="10">
        <v>50</v>
      </c>
      <c r="I22" s="10" t="s">
        <v>31</v>
      </c>
      <c r="K22" s="24" t="s">
        <v>104</v>
      </c>
      <c r="L22" s="15" t="s">
        <v>33</v>
      </c>
      <c r="M22" s="14" t="s">
        <v>105</v>
      </c>
      <c r="N22" s="14" t="s">
        <v>106</v>
      </c>
      <c r="Q22" s="6"/>
    </row>
    <row r="23" spans="1:17" ht="15.75" customHeight="1">
      <c r="A23" s="11" t="s">
        <v>107</v>
      </c>
      <c r="B23" s="23">
        <v>45666</v>
      </c>
      <c r="C23" s="11" t="str">
        <f t="shared" si="0"/>
        <v>CA</v>
      </c>
      <c r="D23" s="11" t="s">
        <v>108</v>
      </c>
      <c r="E23" s="11" t="s">
        <v>109</v>
      </c>
      <c r="F23" s="11" t="str">
        <f t="shared" si="1"/>
        <v>MicrowavePanasonic</v>
      </c>
      <c r="G23" s="18">
        <v>80</v>
      </c>
      <c r="H23" s="11">
        <v>20</v>
      </c>
      <c r="I23" s="11" t="s">
        <v>43</v>
      </c>
      <c r="K23" s="24"/>
      <c r="L23" s="15" t="s">
        <v>33</v>
      </c>
      <c r="M23" s="14" t="s">
        <v>20</v>
      </c>
      <c r="N23" s="14" t="s">
        <v>110</v>
      </c>
      <c r="Q23" s="6"/>
    </row>
    <row r="24" spans="1:17" ht="15.75" customHeight="1">
      <c r="A24" s="10" t="s">
        <v>111</v>
      </c>
      <c r="B24" s="22">
        <v>45857</v>
      </c>
      <c r="C24" s="10" t="str">
        <f t="shared" si="0"/>
        <v>BR</v>
      </c>
      <c r="D24" s="10" t="s">
        <v>64</v>
      </c>
      <c r="E24" s="10" t="s">
        <v>112</v>
      </c>
      <c r="F24" s="10" t="str">
        <f t="shared" si="1"/>
        <v>Fitness TrackerXiaomi</v>
      </c>
      <c r="G24" s="17">
        <v>150</v>
      </c>
      <c r="H24" s="10">
        <v>30</v>
      </c>
      <c r="I24" s="10" t="s">
        <v>65</v>
      </c>
      <c r="K24" s="24" t="s">
        <v>113</v>
      </c>
      <c r="L24" s="15" t="s">
        <v>33</v>
      </c>
      <c r="M24" s="14" t="s">
        <v>114</v>
      </c>
      <c r="N24" s="14" t="s">
        <v>96</v>
      </c>
      <c r="Q24" s="6"/>
    </row>
    <row r="25" spans="1:17" ht="15.75" customHeight="1">
      <c r="A25" s="10" t="s">
        <v>115</v>
      </c>
      <c r="B25" s="22">
        <v>45929</v>
      </c>
      <c r="C25" s="10" t="str">
        <f t="shared" si="0"/>
        <v>CA</v>
      </c>
      <c r="D25" s="10" t="s">
        <v>46</v>
      </c>
      <c r="E25" s="10" t="s">
        <v>116</v>
      </c>
      <c r="F25" s="10" t="str">
        <f t="shared" si="1"/>
        <v>SmartphoneGoogle</v>
      </c>
      <c r="G25" s="17">
        <v>800</v>
      </c>
      <c r="H25" s="10">
        <v>45</v>
      </c>
      <c r="I25" s="10" t="s">
        <v>31</v>
      </c>
      <c r="K25" s="24"/>
      <c r="L25" s="15" t="s">
        <v>33</v>
      </c>
      <c r="M25" s="14" t="s">
        <v>31</v>
      </c>
      <c r="N25" s="14" t="s">
        <v>117</v>
      </c>
      <c r="Q25" s="6"/>
    </row>
    <row r="26" spans="1:17" ht="15.75" customHeight="1">
      <c r="A26" s="11" t="s">
        <v>118</v>
      </c>
      <c r="B26" s="23">
        <v>45811</v>
      </c>
      <c r="C26" s="11" t="str">
        <f t="shared" si="0"/>
        <v>CA</v>
      </c>
      <c r="D26" s="11" t="s">
        <v>48</v>
      </c>
      <c r="E26" s="11" t="s">
        <v>119</v>
      </c>
      <c r="F26" s="11" t="str">
        <f t="shared" si="1"/>
        <v>SunglassesRay-Ban</v>
      </c>
      <c r="G26" s="18">
        <v>150</v>
      </c>
      <c r="H26" s="11">
        <v>25</v>
      </c>
      <c r="I26" s="11" t="s">
        <v>38</v>
      </c>
    </row>
    <row r="27" spans="1:17" ht="15.75" customHeight="1">
      <c r="A27" s="10" t="s">
        <v>120</v>
      </c>
      <c r="B27" s="22">
        <v>45849</v>
      </c>
      <c r="C27" s="10" t="str">
        <f t="shared" si="0"/>
        <v>CA</v>
      </c>
      <c r="D27" s="10" t="s">
        <v>59</v>
      </c>
      <c r="E27" s="10" t="s">
        <v>121</v>
      </c>
      <c r="F27" s="10" t="str">
        <f t="shared" si="1"/>
        <v>BlenderVitamix</v>
      </c>
      <c r="G27" s="17">
        <v>400</v>
      </c>
      <c r="H27" s="10">
        <v>40</v>
      </c>
      <c r="I27" s="10" t="s">
        <v>43</v>
      </c>
    </row>
    <row r="28" spans="1:17" ht="15.75" customHeight="1">
      <c r="A28" s="10" t="s">
        <v>122</v>
      </c>
      <c r="B28" s="22">
        <v>45723</v>
      </c>
      <c r="C28" s="10" t="str">
        <f t="shared" si="0"/>
        <v>CA</v>
      </c>
      <c r="D28" s="10" t="s">
        <v>123</v>
      </c>
      <c r="E28" s="10" t="s">
        <v>124</v>
      </c>
      <c r="F28" s="10" t="str">
        <f t="shared" si="1"/>
        <v>DressZara</v>
      </c>
      <c r="G28" s="17">
        <v>60</v>
      </c>
      <c r="H28" s="10">
        <v>30</v>
      </c>
      <c r="I28" s="10" t="s">
        <v>38</v>
      </c>
    </row>
    <row r="29" spans="1:17" ht="15.75" customHeight="1">
      <c r="A29" s="11" t="s">
        <v>125</v>
      </c>
      <c r="B29" s="23">
        <v>45760</v>
      </c>
      <c r="C29" s="11" t="str">
        <f t="shared" si="0"/>
        <v>CA</v>
      </c>
      <c r="D29" s="11" t="s">
        <v>126</v>
      </c>
      <c r="E29" s="11" t="s">
        <v>127</v>
      </c>
      <c r="F29" s="11" t="str">
        <f t="shared" si="1"/>
        <v>ToasterHamilton</v>
      </c>
      <c r="G29" s="18">
        <v>40</v>
      </c>
      <c r="H29" s="11">
        <v>10</v>
      </c>
      <c r="I29" s="11" t="s">
        <v>43</v>
      </c>
    </row>
    <row r="30" spans="1:17" ht="15.75" customHeight="1">
      <c r="A30" s="10" t="s">
        <v>128</v>
      </c>
      <c r="B30" s="22">
        <v>45801</v>
      </c>
      <c r="C30" s="10" t="str">
        <f t="shared" si="0"/>
        <v>CA</v>
      </c>
      <c r="D30" s="10" t="s">
        <v>64</v>
      </c>
      <c r="E30" s="10" t="s">
        <v>129</v>
      </c>
      <c r="F30" s="10" t="str">
        <f t="shared" si="1"/>
        <v>Fitness TrackerGarmin</v>
      </c>
      <c r="G30" s="17">
        <v>130</v>
      </c>
      <c r="H30" s="10">
        <v>5</v>
      </c>
      <c r="I30" s="10" t="s">
        <v>31</v>
      </c>
    </row>
    <row r="31" spans="1:17" ht="15.75" customHeight="1">
      <c r="A31" s="11" t="s">
        <v>130</v>
      </c>
      <c r="B31" s="23">
        <v>45993</v>
      </c>
      <c r="C31" s="11" t="str">
        <f t="shared" si="0"/>
        <v>CA</v>
      </c>
      <c r="D31" s="11" t="s">
        <v>131</v>
      </c>
      <c r="E31" s="11" t="s">
        <v>132</v>
      </c>
      <c r="F31" s="11" t="str">
        <f t="shared" si="1"/>
        <v>JeansLevi's</v>
      </c>
      <c r="G31" s="18">
        <v>50</v>
      </c>
      <c r="H31" s="11">
        <v>50</v>
      </c>
      <c r="I31" s="11" t="s">
        <v>38</v>
      </c>
    </row>
    <row r="32" spans="1:17" ht="15.75" customHeight="1">
      <c r="A32" s="11" t="s">
        <v>133</v>
      </c>
      <c r="B32" s="23">
        <v>45847</v>
      </c>
      <c r="C32" s="11" t="str">
        <f t="shared" si="0"/>
        <v>FR</v>
      </c>
      <c r="D32" s="11" t="s">
        <v>134</v>
      </c>
      <c r="E32" s="11" t="s">
        <v>135</v>
      </c>
      <c r="F32" s="11" t="str">
        <f t="shared" si="1"/>
        <v>WatchCasio</v>
      </c>
      <c r="G32" s="18">
        <v>100</v>
      </c>
      <c r="H32" s="11">
        <v>20</v>
      </c>
      <c r="I32" s="11" t="s">
        <v>65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A1:I32" xr:uid="{00000000-0001-0000-0100-000000000000}"/>
  <mergeCells count="11">
    <mergeCell ref="L2:L5"/>
    <mergeCell ref="L6:L10"/>
    <mergeCell ref="K2:K10"/>
    <mergeCell ref="K24:K25"/>
    <mergeCell ref="L11:L13"/>
    <mergeCell ref="K15:K18"/>
    <mergeCell ref="L15:L18"/>
    <mergeCell ref="L19:L20"/>
    <mergeCell ref="K19:K21"/>
    <mergeCell ref="K22:K23"/>
    <mergeCell ref="K11:K14"/>
  </mergeCells>
  <conditionalFormatting sqref="G2:G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{A8E7F0FE-FFDC-491B-B121-12562EA16C12}</x14:id>
        </ext>
      </extLst>
    </cfRule>
  </conditionalFormatting>
  <conditionalFormatting sqref="I2:I32">
    <cfRule type="containsText" dxfId="0" priority="1" operator="containsText" text="Electronics">
      <formula>NOT(ISERROR(SEARCH("Electronics",I2)))</formula>
    </cfRule>
  </conditionalFormatting>
  <pageMargins left="0" right="0" top="0" bottom="0" header="0" footer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E7F0FE-FFDC-491B-B121-12562EA16C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2026-09-21T17:48:58Z</dcterms:created>
  <dcterms:modified xsi:type="dcterms:W3CDTF">2026-09-21T17:49:25Z</dcterms:modified>
  <cp:category/>
  <cp:contentStatus/>
</cp:coreProperties>
</file>